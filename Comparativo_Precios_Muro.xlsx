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</sheets>
  <definedNames>
    <definedName name="_xlnm.Print_Titles" localSheetId="0">'Comparativo'!$5:$5</definedName>
    <definedName name="_xlnm.Print_Area" localSheetId="0">'Comparativo'!$A$1:$H$43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$&quot;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404040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8000"/>
      <sz val="10"/>
    </font>
    <font>
      <name val="Calibri"/>
      <i val="1"/>
      <color rgb="00595959"/>
      <sz val="9"/>
    </font>
    <font>
      <name val="Calibri"/>
      <b val="1"/>
      <color rgb="00C00000"/>
      <sz val="10"/>
    </font>
    <font>
      <name val="Calibri"/>
      <b val="1"/>
      <color rgb="00595959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164" fontId="10" fillId="4" borderId="1" applyAlignment="1" pivotButton="0" quotePrefix="0" xfId="0">
      <alignment horizontal="right" vertical="center" wrapText="1"/>
    </xf>
    <xf numFmtId="165" fontId="10" fillId="4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right" vertical="center" wrapText="1"/>
    </xf>
    <xf numFmtId="0" fontId="0" fillId="5" borderId="1" pivotButton="0" quotePrefix="0" xfId="0"/>
    <xf numFmtId="164" fontId="11" fillId="5" borderId="1" applyAlignment="1" pivotButton="0" quotePrefix="0" xfId="0">
      <alignment horizontal="right" vertical="center" wrapText="1"/>
    </xf>
    <xf numFmtId="165" fontId="11" fillId="5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4" customWidth="1" min="4" max="4"/>
    <col width="14" customWidth="1" min="5" max="5"/>
    <col width="11" customWidth="1" min="6" max="6"/>
    <col width="16" customWidth="1" min="7" max="7"/>
    <col width="34" customWidth="1" min="8" max="8"/>
  </cols>
  <sheetData>
    <row r="1" ht="26" customHeight="1">
      <c r="A1" s="1" t="inlineStr">
        <is>
          <t>COMPARATIVO DE PRECIOS — MURO PERIMETRAL</t>
        </is>
      </c>
    </row>
    <row r="2" ht="20" customHeight="1">
      <c r="A2" s="2" t="inlineStr">
        <is>
          <t>Presupuesto del 30-jul-2026  vs.  versión actual (04-ago-2026) · Mercado de ferreterías, Managua · Precios con IVA 15% incluido</t>
        </is>
      </c>
    </row>
    <row r="4" ht="24" customHeight="1">
      <c r="A4" s="3" t="inlineStr">
        <is>
          <t>1.  COMPARATIVO DE PRECIOS UNITARIOS (C$, IVA INCLUIDO)</t>
        </is>
      </c>
      <c r="B4" s="4" t="n"/>
      <c r="C4" s="4" t="n"/>
      <c r="D4" s="4" t="n"/>
      <c r="E4" s="4" t="n"/>
      <c r="F4" s="4" t="n"/>
      <c r="G4" s="4" t="n"/>
      <c r="H4" s="4" t="n"/>
    </row>
    <row r="5" ht="38" customHeight="1">
      <c r="A5" s="5" t="inlineStr">
        <is>
          <t>N°</t>
        </is>
      </c>
      <c r="B5" s="5" t="inlineStr">
        <is>
          <t>Descripción</t>
        </is>
      </c>
      <c r="C5" s="5" t="inlineStr">
        <is>
          <t>Unidad</t>
        </is>
      </c>
      <c r="D5" s="5" t="inlineStr">
        <is>
          <t>P. Unit.
30-jul</t>
        </is>
      </c>
      <c r="E5" s="5" t="inlineStr">
        <is>
          <t>P. Unit.
Actual</t>
        </is>
      </c>
      <c r="F5" s="5" t="inlineStr">
        <is>
          <t>Variación</t>
        </is>
      </c>
      <c r="G5" s="5" t="inlineStr">
        <is>
          <t>Tendencia</t>
        </is>
      </c>
      <c r="H5" s="5" t="inlineStr">
        <is>
          <t>Observación</t>
        </is>
      </c>
    </row>
    <row r="6" ht="20" customHeight="1">
      <c r="A6" s="6" t="n">
        <v>1</v>
      </c>
      <c r="B6" s="7" t="inlineStr">
        <is>
          <t>Bloque de concreto de 6" (15x20x40 cm)</t>
        </is>
      </c>
      <c r="C6" s="6" t="inlineStr">
        <is>
          <t>Unidad</t>
        </is>
      </c>
      <c r="D6" s="8" t="n">
        <v>40</v>
      </c>
      <c r="E6" s="8" t="n">
        <v>22</v>
      </c>
      <c r="F6" s="9">
        <f>(E6-D6)/D6</f>
        <v>-0.4500</v>
      </c>
      <c r="G6" s="10" t="inlineStr">
        <is>
          <t>▼ más barato</t>
        </is>
      </c>
      <c r="H6" s="11" t="inlineStr">
        <is>
          <t>Ref. CONCRENIC/ARCON</t>
        </is>
      </c>
    </row>
    <row r="7" ht="30" customHeight="1">
      <c r="A7" s="6" t="n">
        <v>2</v>
      </c>
      <c r="B7" s="7" t="inlineStr">
        <is>
          <t>Varilla corrugada de 3/8" G-40</t>
        </is>
      </c>
      <c r="C7" s="6" t="inlineStr">
        <is>
          <t>Unidad</t>
        </is>
      </c>
      <c r="D7" s="8" t="n">
        <v>1700</v>
      </c>
      <c r="E7" s="8" t="n">
        <v>185</v>
      </c>
      <c r="F7" s="9">
        <f>(E7-D7)/D7</f>
        <v>-0.8912</v>
      </c>
      <c r="G7" s="10" t="inlineStr">
        <is>
          <t>▼ más barato</t>
        </is>
      </c>
      <c r="H7" s="11" t="inlineStr">
        <is>
          <t>30-jul: 19 u @ C$1,700 (precio atípico); Actual: 79 u @ C$185. Validar.</t>
        </is>
      </c>
    </row>
    <row r="8" ht="20" customHeight="1">
      <c r="A8" s="6" t="n">
        <v>3</v>
      </c>
      <c r="B8" s="7" t="inlineStr">
        <is>
          <t>Estribo de 1/4" de 10x10 cm</t>
        </is>
      </c>
      <c r="C8" s="6" t="inlineStr">
        <is>
          <t>Unidad</t>
        </is>
      </c>
      <c r="D8" s="8" t="n">
        <v>22</v>
      </c>
      <c r="E8" s="8" t="n">
        <v>15</v>
      </c>
      <c r="F8" s="9">
        <f>(E8-D8)/D8</f>
        <v>-0.3182</v>
      </c>
      <c r="G8" s="10" t="inlineStr">
        <is>
          <t>▼ más barato</t>
        </is>
      </c>
      <c r="H8" s="11" t="inlineStr"/>
    </row>
    <row r="9" ht="30" customHeight="1">
      <c r="A9" s="6" t="n">
        <v>4</v>
      </c>
      <c r="B9" s="7" t="inlineStr">
        <is>
          <t>Alambre de amarre recocido</t>
        </is>
      </c>
      <c r="C9" s="6" t="inlineStr">
        <is>
          <t>Libra</t>
        </is>
      </c>
      <c r="D9" s="8" t="n">
        <v>48</v>
      </c>
      <c r="E9" s="8" t="n">
        <v>28</v>
      </c>
      <c r="F9" s="9">
        <f>(E9-D9)/D9</f>
        <v>-0.4167</v>
      </c>
      <c r="G9" s="10" t="inlineStr">
        <is>
          <t>▼ más barato</t>
        </is>
      </c>
      <c r="H9" s="11" t="inlineStr">
        <is>
          <t>Ref. Padua ≈C$2,050/qq. 30-jul cal.16 / Actual cal.18</t>
        </is>
      </c>
    </row>
    <row r="10" ht="20" customHeight="1">
      <c r="A10" s="6" t="n">
        <v>5</v>
      </c>
      <c r="B10" s="7" t="inlineStr">
        <is>
          <t>Cemento gris tipo GU (bolsa 42.5 kg)</t>
        </is>
      </c>
      <c r="C10" s="6" t="inlineStr">
        <is>
          <t>Bolsa</t>
        </is>
      </c>
      <c r="D10" s="8" t="n">
        <v>465</v>
      </c>
      <c r="E10" s="8" t="n">
        <v>395</v>
      </c>
      <c r="F10" s="9">
        <f>(E10-D10)/D10</f>
        <v>-0.1505</v>
      </c>
      <c r="G10" s="10" t="inlineStr">
        <is>
          <t>▼ más barato</t>
        </is>
      </c>
      <c r="H10" s="11" t="inlineStr">
        <is>
          <t>Ref. SINSA ≈C$385–400</t>
        </is>
      </c>
    </row>
    <row r="11" ht="20" customHeight="1">
      <c r="A11" s="6" t="n">
        <v>6</v>
      </c>
      <c r="B11" s="7" t="inlineStr">
        <is>
          <t>Arena de construcción</t>
        </is>
      </c>
      <c r="C11" s="6" t="inlineStr">
        <is>
          <t>m³</t>
        </is>
      </c>
      <c r="D11" s="8" t="n">
        <v>950</v>
      </c>
      <c r="E11" s="8" t="n">
        <v>700</v>
      </c>
      <c r="F11" s="9">
        <f>(E11-D11)/D11</f>
        <v>-0.2632</v>
      </c>
      <c r="G11" s="10" t="inlineStr">
        <is>
          <t>▼ más barato</t>
        </is>
      </c>
      <c r="H11" s="11" t="inlineStr">
        <is>
          <t>Ref. mercado ≈C$600–800</t>
        </is>
      </c>
    </row>
    <row r="12" ht="20" customHeight="1">
      <c r="A12" s="6" t="n">
        <v>7</v>
      </c>
      <c r="B12" s="7" t="inlineStr">
        <is>
          <t>Piedrín de 1/2"</t>
        </is>
      </c>
      <c r="C12" s="6" t="inlineStr">
        <is>
          <t>m³</t>
        </is>
      </c>
      <c r="D12" s="8" t="n">
        <v>1300</v>
      </c>
      <c r="E12" s="8" t="n">
        <v>1000</v>
      </c>
      <c r="F12" s="9">
        <f>(E12-D12)/D12</f>
        <v>-0.2308</v>
      </c>
      <c r="G12" s="10" t="inlineStr">
        <is>
          <t>▼ más barato</t>
        </is>
      </c>
      <c r="H12" s="11" t="inlineStr">
        <is>
          <t>Ref. mercado C$900–1,000</t>
        </is>
      </c>
    </row>
    <row r="13" ht="20" customHeight="1">
      <c r="A13" s="6" t="n">
        <v>8</v>
      </c>
      <c r="B13" s="7" t="inlineStr">
        <is>
          <t>Tabla de pino de 1x12x6 varas</t>
        </is>
      </c>
      <c r="C13" s="6" t="inlineStr">
        <is>
          <t>Unidad</t>
        </is>
      </c>
      <c r="D13" s="8" t="n">
        <v>320</v>
      </c>
      <c r="E13" s="8" t="n">
        <v>500</v>
      </c>
      <c r="F13" s="9">
        <f>(E13-D13)/D13</f>
        <v>0.5625</v>
      </c>
      <c r="G13" s="12" t="inlineStr">
        <is>
          <t>▲ más caro</t>
        </is>
      </c>
      <c r="H13" s="11" t="inlineStr">
        <is>
          <t>Actual más alto</t>
        </is>
      </c>
    </row>
    <row r="14" ht="20" customHeight="1">
      <c r="A14" s="6" t="n">
        <v>9</v>
      </c>
      <c r="B14" s="7" t="inlineStr">
        <is>
          <t>Regla de pino de 1x2x6 varas</t>
        </is>
      </c>
      <c r="C14" s="6" t="inlineStr">
        <is>
          <t>Unidad</t>
        </is>
      </c>
      <c r="D14" s="8" t="n">
        <v>110</v>
      </c>
      <c r="E14" s="8" t="n">
        <v>110</v>
      </c>
      <c r="F14" s="9">
        <f>(E14-D14)/D14</f>
        <v>0</v>
      </c>
      <c r="G14" s="13" t="inlineStr">
        <is>
          <t>Igual</t>
        </is>
      </c>
      <c r="H14" s="11" t="inlineStr"/>
    </row>
    <row r="15" ht="20" customHeight="1">
      <c r="A15" s="6" t="n">
        <v>10</v>
      </c>
      <c r="B15" s="7" t="inlineStr">
        <is>
          <t>Clavos corrientes de 2 1/2"</t>
        </is>
      </c>
      <c r="C15" s="6" t="inlineStr">
        <is>
          <t>Libra</t>
        </is>
      </c>
      <c r="D15" s="8" t="n">
        <v>48</v>
      </c>
      <c r="E15" s="8" t="n">
        <v>35</v>
      </c>
      <c r="F15" s="9">
        <f>(E15-D15)/D15</f>
        <v>-0.2708</v>
      </c>
      <c r="G15" s="10" t="inlineStr">
        <is>
          <t>▼ más barato</t>
        </is>
      </c>
      <c r="H15" s="11" t="inlineStr"/>
    </row>
    <row r="16" ht="20" customHeight="1">
      <c r="A16" s="6" t="n">
        <v>11</v>
      </c>
      <c r="B16" s="7" t="inlineStr">
        <is>
          <t>Clavos de acero de 2 1/2"</t>
        </is>
      </c>
      <c r="C16" s="6" t="inlineStr">
        <is>
          <t>Docena</t>
        </is>
      </c>
      <c r="D16" s="8" t="n">
        <v>70</v>
      </c>
      <c r="E16" s="8" t="n">
        <v>55</v>
      </c>
      <c r="F16" s="9">
        <f>(E16-D16)/D16</f>
        <v>-0.2143</v>
      </c>
      <c r="G16" s="10" t="inlineStr">
        <is>
          <t>▼ más barato</t>
        </is>
      </c>
      <c r="H16" s="11" t="inlineStr"/>
    </row>
    <row r="17" ht="20" customHeight="1">
      <c r="A17" s="6" t="n">
        <v>12</v>
      </c>
      <c r="B17" s="7" t="inlineStr">
        <is>
          <t>Adhesivo Plaster Bond</t>
        </is>
      </c>
      <c r="C17" s="6" t="inlineStr">
        <is>
          <t>Litro</t>
        </is>
      </c>
      <c r="D17" s="8" t="n">
        <v>185</v>
      </c>
      <c r="E17" s="8" t="n">
        <v>230</v>
      </c>
      <c r="F17" s="9">
        <f>(E17-D17)/D17</f>
        <v>0.2432</v>
      </c>
      <c r="G17" s="12" t="inlineStr">
        <is>
          <t>▲ más caro</t>
        </is>
      </c>
      <c r="H17" s="11" t="inlineStr">
        <is>
          <t>Actual más alto</t>
        </is>
      </c>
    </row>
    <row r="18" ht="30" customHeight="1">
      <c r="A18" s="6" t="n">
        <v>13</v>
      </c>
      <c r="B18" s="7" t="inlineStr">
        <is>
          <t>Rollo de concertina / serpentina</t>
        </is>
      </c>
      <c r="C18" s="6" t="inlineStr">
        <is>
          <t>Rollo</t>
        </is>
      </c>
      <c r="D18" s="8" t="n">
        <v>950</v>
      </c>
      <c r="E18" s="8" t="n">
        <v>2200</v>
      </c>
      <c r="F18" s="9">
        <f>(E18-D18)/D18</f>
        <v>1.3158</v>
      </c>
      <c r="G18" s="12" t="inlineStr">
        <is>
          <t>▲ más caro</t>
        </is>
      </c>
      <c r="H18" s="11" t="inlineStr">
        <is>
          <t>Mercado usual C$1,800–2,500; validar el de 30-jul</t>
        </is>
      </c>
    </row>
    <row r="19" ht="20" customHeight="1">
      <c r="A19" s="6" t="n">
        <v>14</v>
      </c>
      <c r="B19" s="7" t="inlineStr">
        <is>
          <t>Grapas</t>
        </is>
      </c>
      <c r="C19" s="6" t="inlineStr">
        <is>
          <t>Libra</t>
        </is>
      </c>
      <c r="D19" s="8" t="n">
        <v>55</v>
      </c>
      <c r="E19" s="8" t="n">
        <v>35</v>
      </c>
      <c r="F19" s="9">
        <f>(E19-D19)/D19</f>
        <v>-0.3636</v>
      </c>
      <c r="G19" s="10" t="inlineStr">
        <is>
          <t>▼ más barato</t>
        </is>
      </c>
      <c r="H19" s="11" t="inlineStr"/>
    </row>
    <row r="20" ht="20" customHeight="1">
      <c r="A20" s="6" t="n">
        <v>15</v>
      </c>
      <c r="B20" s="7" t="inlineStr">
        <is>
          <t>Electrodo soldadura 6011 3/32" (caja)</t>
        </is>
      </c>
      <c r="C20" s="6" t="inlineStr">
        <is>
          <t>Caja</t>
        </is>
      </c>
      <c r="D20" s="8" t="n">
        <v>520</v>
      </c>
      <c r="E20" s="8" t="n">
        <v>780</v>
      </c>
      <c r="F20" s="9">
        <f>(E20-D20)/D20</f>
        <v>0.5000</v>
      </c>
      <c r="G20" s="12" t="inlineStr">
        <is>
          <t>▲ más caro</t>
        </is>
      </c>
      <c r="H20" s="11" t="inlineStr">
        <is>
          <t>Actual más alto</t>
        </is>
      </c>
    </row>
    <row r="21" ht="30" customHeight="1">
      <c r="A21" s="6" t="n">
        <v>16</v>
      </c>
      <c r="B21" s="7" t="inlineStr">
        <is>
          <t>Pintura anticorrosiva</t>
        </is>
      </c>
      <c r="C21" s="6" t="inlineStr">
        <is>
          <t>Cuarto</t>
        </is>
      </c>
      <c r="D21" s="8" t="n">
        <v>190</v>
      </c>
      <c r="E21" s="8" t="n">
        <v>180</v>
      </c>
      <c r="F21" s="9">
        <f>(E21-D21)/D21</f>
        <v>-0.0526</v>
      </c>
      <c r="G21" s="10" t="inlineStr">
        <is>
          <t>▼ más barato</t>
        </is>
      </c>
      <c r="H21" s="11" t="inlineStr">
        <is>
          <t>30-jul: C$380 el juego de 2 cuartos (≈C$190 c/u)</t>
        </is>
      </c>
    </row>
    <row r="22" ht="20" customHeight="1">
      <c r="A22" s="6" t="n">
        <v>17</v>
      </c>
      <c r="B22" s="7" t="inlineStr">
        <is>
          <t>Diluyente (thinner)</t>
        </is>
      </c>
      <c r="C22" s="6" t="inlineStr">
        <is>
          <t>Galón</t>
        </is>
      </c>
      <c r="D22" s="8" t="n">
        <v>320</v>
      </c>
      <c r="E22" s="8" t="n">
        <v>400</v>
      </c>
      <c r="F22" s="9">
        <f>(E22-D22)/D22</f>
        <v>0.2500</v>
      </c>
      <c r="G22" s="12" t="inlineStr">
        <is>
          <t>▲ más caro</t>
        </is>
      </c>
      <c r="H22" s="11" t="inlineStr">
        <is>
          <t>Actual más alto</t>
        </is>
      </c>
    </row>
    <row r="23" ht="30" customHeight="1">
      <c r="A23" s="6" t="n">
        <v>18</v>
      </c>
      <c r="B23" s="7" t="inlineStr">
        <is>
          <t>Tubo cuadrado 1 1/2" chapa 14 (6 m)</t>
        </is>
      </c>
      <c r="C23" s="6" t="inlineStr">
        <is>
          <t>Unidad</t>
        </is>
      </c>
      <c r="D23" s="8" t="n">
        <v>480</v>
      </c>
      <c r="E23" s="8" t="n">
        <v>700</v>
      </c>
      <c r="F23" s="9">
        <f>(E23-D23)/D23</f>
        <v>0.4583</v>
      </c>
      <c r="G23" s="12" t="inlineStr">
        <is>
          <t>▲ más caro</t>
        </is>
      </c>
      <c r="H23" s="11" t="inlineStr">
        <is>
          <t>Ref. SOFECONSA: 1"x1" ch14 ≈C$420+IVA</t>
        </is>
      </c>
    </row>
    <row r="24" ht="30" customHeight="1">
      <c r="A24" s="6" t="n">
        <v>19</v>
      </c>
      <c r="B24" s="7" t="inlineStr">
        <is>
          <t>Lámina negra de 4x8 pies</t>
        </is>
      </c>
      <c r="C24" s="6" t="inlineStr">
        <is>
          <t>Unidad</t>
        </is>
      </c>
      <c r="D24" s="8" t="n">
        <v>1050</v>
      </c>
      <c r="E24" s="8" t="n">
        <v>1250</v>
      </c>
      <c r="F24" s="9">
        <f>(E24-D24)/D24</f>
        <v>0.1905</v>
      </c>
      <c r="G24" s="12" t="inlineStr">
        <is>
          <t>▲ más caro</t>
        </is>
      </c>
      <c r="H24" s="11" t="inlineStr">
        <is>
          <t>30-jul: cal.14 (~2 mm) / Actual: 1 mm (cal.20)</t>
        </is>
      </c>
    </row>
    <row r="25" ht="20" customHeight="1">
      <c r="A25" s="6" t="n">
        <v>20</v>
      </c>
      <c r="B25" s="7" t="inlineStr">
        <is>
          <t>Par de bisagra de bala</t>
        </is>
      </c>
      <c r="C25" s="6" t="inlineStr">
        <is>
          <t>Par</t>
        </is>
      </c>
      <c r="D25" s="8" t="n">
        <v>220</v>
      </c>
      <c r="E25" s="8" t="n">
        <v>120</v>
      </c>
      <c r="F25" s="9">
        <f>(E25-D25)/D25</f>
        <v>-0.4545</v>
      </c>
      <c r="G25" s="10" t="inlineStr">
        <is>
          <t>▼ más barato</t>
        </is>
      </c>
      <c r="H25" s="11" t="inlineStr"/>
    </row>
    <row r="26" ht="20" customHeight="1">
      <c r="A26" s="6" t="n">
        <v>21</v>
      </c>
      <c r="B26" s="7" t="inlineStr">
        <is>
          <t>Pasador (aldaba) de 5"</t>
        </is>
      </c>
      <c r="C26" s="6" t="inlineStr">
        <is>
          <t>Unidad</t>
        </is>
      </c>
      <c r="D26" s="8" t="n">
        <v>95</v>
      </c>
      <c r="E26" s="8" t="n">
        <v>90</v>
      </c>
      <c r="F26" s="9">
        <f>(E26-D26)/D26</f>
        <v>-0.0526</v>
      </c>
      <c r="G26" s="10" t="inlineStr">
        <is>
          <t>▼ más barato</t>
        </is>
      </c>
      <c r="H26" s="11" t="inlineStr"/>
    </row>
    <row r="27" ht="20" customHeight="1">
      <c r="A27" s="6" t="n">
        <v>22</v>
      </c>
      <c r="B27" s="7" t="inlineStr">
        <is>
          <t>Disco de corte fino de 7"</t>
        </is>
      </c>
      <c r="C27" s="6" t="inlineStr">
        <is>
          <t>Unidad</t>
        </is>
      </c>
      <c r="D27" s="8" t="n">
        <v>280</v>
      </c>
      <c r="E27" s="8" t="n">
        <v>75</v>
      </c>
      <c r="F27" s="9">
        <f>(E27-D27)/D27</f>
        <v>-0.7321</v>
      </c>
      <c r="G27" s="10" t="inlineStr">
        <is>
          <t>▼ más barato</t>
        </is>
      </c>
      <c r="H27" s="11" t="inlineStr"/>
    </row>
    <row r="29" ht="24" customHeight="1">
      <c r="A29" s="3" t="inlineStr">
        <is>
          <t>2.  COMPARATIVO DE TOTALES DEL PRESUPUESTO (C$)</t>
        </is>
      </c>
      <c r="B29" s="4" t="n"/>
      <c r="C29" s="4" t="n"/>
      <c r="D29" s="4" t="n"/>
      <c r="E29" s="4" t="n"/>
      <c r="F29" s="4" t="n"/>
      <c r="G29" s="4" t="n"/>
      <c r="H29" s="4" t="n"/>
    </row>
    <row r="30" ht="32" customHeight="1">
      <c r="A30" s="5" t="inlineStr">
        <is>
          <t>Concepto</t>
        </is>
      </c>
      <c r="B30" s="14" t="n"/>
      <c r="C30" s="14" t="n"/>
      <c r="D30" s="14" t="n"/>
      <c r="E30" s="5" t="inlineStr">
        <is>
          <t>30-jul-2026</t>
        </is>
      </c>
      <c r="F30" s="5" t="inlineStr">
        <is>
          <t>Versión actual</t>
        </is>
      </c>
      <c r="G30" s="5" t="inlineStr">
        <is>
          <t>Diferencia</t>
        </is>
      </c>
      <c r="H30" s="5" t="inlineStr">
        <is>
          <t>Diferencia %</t>
        </is>
      </c>
    </row>
    <row r="31" ht="22" customHeight="1">
      <c r="A31" s="15" t="inlineStr">
        <is>
          <t>Subtotal materiales (IVA incluido)</t>
        </is>
      </c>
      <c r="B31" s="16" t="n"/>
      <c r="C31" s="16" t="n"/>
      <c r="D31" s="16" t="n"/>
      <c r="E31" s="17" t="n">
        <v>51217</v>
      </c>
      <c r="F31" s="17" t="n">
        <v>35387</v>
      </c>
      <c r="G31" s="17">
        <f>F31-E31</f>
        <v>-15830</v>
      </c>
      <c r="H31" s="18">
        <f>IFERROR((F31-E31)/E31,0)</f>
        <v>-0.3091</v>
      </c>
    </row>
    <row r="32" ht="22" customHeight="1">
      <c r="A32" s="15" t="inlineStr">
        <is>
          <t>Imprevistos 5%</t>
        </is>
      </c>
      <c r="B32" s="16" t="n"/>
      <c r="C32" s="16" t="n"/>
      <c r="D32" s="16" t="n"/>
      <c r="E32" s="17" t="n">
        <v>3335.85</v>
      </c>
      <c r="F32" s="17" t="n">
        <v>1769.35</v>
      </c>
      <c r="G32" s="17">
        <f>F32-E32</f>
        <v>-1566.5000</v>
      </c>
      <c r="H32" s="18">
        <f>IFERROR((F32-E32)/E32,0)</f>
        <v>-0.4696</v>
      </c>
    </row>
    <row r="33" ht="22" customHeight="1">
      <c r="A33" s="15" t="inlineStr">
        <is>
          <t>Subtotal mano de obra</t>
        </is>
      </c>
      <c r="B33" s="16" t="n"/>
      <c r="C33" s="16" t="n"/>
      <c r="D33" s="16" t="n"/>
      <c r="E33" s="17" t="n">
        <v>15500</v>
      </c>
      <c r="F33" s="17" t="n">
        <v>15500</v>
      </c>
      <c r="G33" s="17">
        <f>F33-E33</f>
        <v>0</v>
      </c>
      <c r="H33" s="18">
        <f>IFERROR((F33-E33)/E33,0)</f>
        <v>0</v>
      </c>
    </row>
    <row r="34" ht="26" customHeight="1">
      <c r="A34" s="19" t="inlineStr">
        <is>
          <t>TOTAL GENERAL</t>
        </is>
      </c>
      <c r="B34" s="20" t="n"/>
      <c r="C34" s="20" t="n"/>
      <c r="D34" s="20" t="n"/>
      <c r="E34" s="21" t="n">
        <v>70052.85000000001</v>
      </c>
      <c r="F34" s="21" t="n">
        <v>52656.35</v>
      </c>
      <c r="G34" s="21">
        <f>F34-E34</f>
        <v>-17396.5000</v>
      </c>
      <c r="H34" s="22">
        <f>IFERROR((F34-E34)/E34,0)</f>
        <v>-0.2483</v>
      </c>
    </row>
    <row r="35" ht="30" customHeight="1">
      <c r="A35" s="23" t="inlineStr">
        <is>
          <t>Nota: el 30-jul los imprevistos (5%) se calcularon sobre materiales + mano de obra (base C$66,717); en la versión actual se calculan solo sobre materiales (base C$36,387), según tu indicación.</t>
        </is>
      </c>
    </row>
    <row r="37" ht="22" customHeight="1">
      <c r="A37" s="24" t="inlineStr">
        <is>
          <t>VEREDICTO</t>
        </is>
      </c>
      <c r="B37" s="25" t="n"/>
      <c r="C37" s="25" t="n"/>
      <c r="D37" s="25" t="n"/>
      <c r="E37" s="25" t="n"/>
      <c r="F37" s="25" t="n"/>
      <c r="G37" s="25" t="n"/>
      <c r="H37" s="25" t="n"/>
    </row>
    <row r="38" ht="38" customHeight="1">
      <c r="A38" s="26" t="inlineStr">
        <is>
          <t>• En conjunto NO: la versión actual es MÁS BARATA. El total bajó de C$ 70,052.85 (30-jul) a C$ 52,656.35, una reducción de C$ 17,396.50 (−24.8%). Los precios actuales están contrastados con el mercado nicaragüense (SINSA, SOFECONSA, Padua, tecnoguias).</t>
        </is>
      </c>
      <c r="B38" s="27" t="n"/>
      <c r="C38" s="27" t="n"/>
      <c r="D38" s="27" t="n"/>
      <c r="E38" s="27" t="n"/>
      <c r="F38" s="27" t="n"/>
      <c r="G38" s="27" t="n"/>
      <c r="H38" s="27" t="n"/>
    </row>
    <row r="39" ht="38" customHeight="1">
      <c r="A39" s="26" t="inlineStr">
        <is>
          <t>• En precios unitarios, la versión actual es más barata en 15 de 22 materiales; 7 subieron (tabla de pino, Plaster Bond, concertina, soldadura, thinner, tubo y lámina) y 1 quedó igual (regla).</t>
        </is>
      </c>
      <c r="B39" s="27" t="n"/>
      <c r="C39" s="27" t="n"/>
      <c r="D39" s="27" t="n"/>
      <c r="E39" s="27" t="n"/>
      <c r="F39" s="27" t="n"/>
      <c r="G39" s="27" t="n"/>
      <c r="H39" s="27" t="n"/>
    </row>
    <row r="40" ht="53" customHeight="1">
      <c r="A40" s="26" t="inlineStr">
        <is>
          <t>• El mayor efecto viene de la varilla de 3/8": el 30-jul se registró a C$ 1,700 por unidad —precio atípico, pues una varilla ronda C$ 180–200— frente a C$ 185 en la versión actual. Además cambió la cantidad (19 vs 79 u); conviene confirmar cuál es la correcta según la lista.</t>
        </is>
      </c>
      <c r="B40" s="27" t="n"/>
      <c r="C40" s="27" t="n"/>
      <c r="D40" s="27" t="n"/>
      <c r="E40" s="27" t="n"/>
      <c r="F40" s="27" t="n"/>
      <c r="G40" s="27" t="n"/>
      <c r="H40" s="27" t="n"/>
    </row>
    <row r="41" ht="38" customHeight="1">
      <c r="A41" s="26" t="inlineStr">
        <is>
          <t>• Puntos a validar con cotización formal: varilla de 3/8" (precio y cantidad), rollo de concertina y el calibre de la lámina del portón (cal.14 vs 1 mm).</t>
        </is>
      </c>
      <c r="B41" s="27" t="n"/>
      <c r="C41" s="27" t="n"/>
      <c r="D41" s="27" t="n"/>
      <c r="E41" s="27" t="n"/>
      <c r="F41" s="27" t="n"/>
      <c r="G41" s="27" t="n"/>
      <c r="H41" s="27" t="n"/>
    </row>
    <row r="43" ht="30" customHeight="1">
      <c r="A43" s="23" t="inlineStr">
        <is>
          <t>Leyenda:  ▼ más barato (verde) = el precio actual es menor que el del 30-jul   |   ▲ más caro (rojo) = el precio actual es mayor.  Precios de referencia de mercado (IVA incluido); no constituyen cotización formal de proveedor.</t>
        </is>
      </c>
    </row>
  </sheetData>
  <mergeCells count="16">
    <mergeCell ref="A4:H4"/>
    <mergeCell ref="A31:D31"/>
    <mergeCell ref="A39:H39"/>
    <mergeCell ref="A29:H29"/>
    <mergeCell ref="A35:H35"/>
    <mergeCell ref="A34:D34"/>
    <mergeCell ref="A43:H43"/>
    <mergeCell ref="A38:H38"/>
    <mergeCell ref="A2:H2"/>
    <mergeCell ref="A30:D30"/>
    <mergeCell ref="A41:H41"/>
    <mergeCell ref="A33:D33"/>
    <mergeCell ref="A1:H1"/>
    <mergeCell ref="A37:H37"/>
    <mergeCell ref="A32:D32"/>
    <mergeCell ref="A40:H40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2026-08-04T19:54:25Z</dcterms:created>
  <dcterms:modified xsi:type="dcterms:W3CDTF">2026-08-04T19:54:25Z</dcterms:modified>
</cp:coreProperties>
</file>