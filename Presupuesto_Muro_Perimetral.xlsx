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Especificaciones Técnicas" sheetId="2" state="visible" r:id="rId2"/>
  </sheets>
  <definedNames>
    <definedName name="_xlnm.Print_Titles" localSheetId="0">'Presupuesto'!$11:$11</definedName>
    <definedName name="_xlnm.Print_Area" localSheetId="0">'Presupuesto'!$A$1:$F$68</definedName>
    <definedName name="_xlnm.Print_Titles" localSheetId="1">'Especificaciones Técnicas'!$4:$4</definedName>
    <definedName name="_xlnm.Print_Area" localSheetId="1">'Especificaciones Técnicas'!$A$1:$D$21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#,##0.##"/>
    <numFmt numFmtId="167" formatCode="&quot;C$&quot;#,##0.00"/>
    <numFmt numFmtId="168" formatCode="&quot;US$ &quot;#,##0.00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404040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color rgb="00000000"/>
      <sz val="10"/>
    </font>
    <font>
      <name val="Calibri"/>
      <b val="1"/>
      <color rgb="001F4E79"/>
      <sz val="11"/>
    </font>
    <font>
      <name val="Calibri"/>
      <b val="1"/>
      <color rgb="000000FF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right" vertical="center" wrapText="1"/>
    </xf>
    <xf numFmtId="167" fontId="4" fillId="0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0" fillId="4" borderId="1" pivotButton="0" quotePrefix="0" xfId="0"/>
    <xf numFmtId="167" fontId="3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4" fillId="4" borderId="1" applyAlignment="1" pivotButton="0" quotePrefix="0" xfId="0">
      <alignment horizontal="right" vertical="center" wrapText="1"/>
    </xf>
    <xf numFmtId="167" fontId="4" fillId="4" borderId="1" applyAlignment="1" pivotButton="0" quotePrefix="0" xfId="0">
      <alignment horizontal="right" vertical="center" wrapText="1"/>
    </xf>
    <xf numFmtId="0" fontId="8" fillId="8" borderId="1" applyAlignment="1" pivotButton="0" quotePrefix="0" xfId="0">
      <alignment horizontal="right" vertical="center" wrapText="1"/>
    </xf>
    <xf numFmtId="0" fontId="0" fillId="8" borderId="1" pivotButton="0" quotePrefix="0" xfId="0"/>
    <xf numFmtId="167" fontId="8" fillId="8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167" fontId="9" fillId="0" borderId="0" applyAlignment="1" pivotButton="0" quotePrefix="0" xfId="0">
      <alignment horizontal="right" vertical="center" wrapText="1"/>
    </xf>
    <xf numFmtId="168" fontId="9" fillId="0" borderId="0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top" wrapText="1"/>
    </xf>
    <xf numFmtId="0" fontId="10" fillId="7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showGridLines="0" zoomScale="10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1" customWidth="1" min="4" max="4"/>
    <col width="16" customWidth="1" min="5" max="5"/>
    <col width="17" customWidth="1" min="6" max="6"/>
  </cols>
  <sheetData>
    <row r="1" ht="26" customHeight="1">
      <c r="A1" s="1" t="inlineStr">
        <is>
          <t>PRESUPUESTO DE MATERIALES Y MANO DE OBRA</t>
        </is>
      </c>
    </row>
    <row r="2" ht="20" customHeight="1">
      <c r="A2" s="2" t="inlineStr">
        <is>
          <t>Elevación de muro perimetral — Mampostería confinada de bloque de 6" sobre muro de cantera existente</t>
        </is>
      </c>
    </row>
    <row r="4" ht="19" customHeight="1">
      <c r="A4" s="3" t="inlineStr">
        <is>
          <t>Documento N°:</t>
        </is>
      </c>
      <c r="C4" s="4" t="inlineStr">
        <is>
          <t>PRE-2026-001</t>
        </is>
      </c>
    </row>
    <row r="5" ht="19" customHeight="1">
      <c r="A5" s="3" t="inlineStr">
        <is>
          <t>Fecha de emisión:</t>
        </is>
      </c>
      <c r="C5" s="5" t="n">
        <v>46238</v>
      </c>
    </row>
    <row r="6" ht="19" customHeight="1">
      <c r="A6" s="3" t="inlineStr">
        <is>
          <t>Válida hasta:</t>
        </is>
      </c>
      <c r="C6" s="5">
        <f>C5+30</f>
        <v>46268</v>
      </c>
    </row>
    <row r="7" ht="19" customHeight="1">
      <c r="A7" s="3" t="inlineStr">
        <is>
          <t>Proyecto / Ubicación:</t>
        </is>
      </c>
      <c r="C7" s="4" t="inlineStr">
        <is>
          <t>Muro perimetral — Managua, Nicaragua</t>
        </is>
      </c>
    </row>
    <row r="8" ht="19" customHeight="1">
      <c r="A8" s="3" t="inlineStr">
        <is>
          <t>Moneda / Impuesto:</t>
        </is>
      </c>
      <c r="C8" s="4" t="inlineStr">
        <is>
          <t>Córdoba (C$) — Precios con IVA 15% incluido</t>
        </is>
      </c>
    </row>
    <row r="10" ht="24" customHeight="1">
      <c r="A10" s="6" t="inlineStr">
        <is>
          <t>1.  MATERIALES PARA MURO (MAMPOSTERÍA CONFINADA)</t>
        </is>
      </c>
      <c r="B10" s="7" t="n"/>
      <c r="C10" s="7" t="n"/>
      <c r="D10" s="7" t="n"/>
      <c r="E10" s="7" t="n"/>
      <c r="F10" s="7" t="n"/>
    </row>
    <row r="11" ht="36" customHeight="1">
      <c r="A11" s="8" t="inlineStr">
        <is>
          <t>Ítem</t>
        </is>
      </c>
      <c r="B11" s="8" t="inlineStr">
        <is>
          <t>Descripción</t>
        </is>
      </c>
      <c r="C11" s="8" t="inlineStr">
        <is>
          <t>Unidad</t>
        </is>
      </c>
      <c r="D11" s="8" t="inlineStr">
        <is>
          <t>Cantidad</t>
        </is>
      </c>
      <c r="E11" s="8" t="inlineStr">
        <is>
          <t>Precio Unitario (C$)</t>
        </is>
      </c>
      <c r="F11" s="8" t="inlineStr">
        <is>
          <t>Total (C$)</t>
        </is>
      </c>
    </row>
    <row r="12" ht="21" customHeight="1">
      <c r="A12" s="9" t="n">
        <v>1</v>
      </c>
      <c r="B12" s="10" t="inlineStr">
        <is>
          <t>Bloque de concreto de 6" (15x20x40 cm)</t>
        </is>
      </c>
      <c r="C12" s="9" t="inlineStr">
        <is>
          <t>Unidad</t>
        </is>
      </c>
      <c r="D12" s="11" t="n">
        <v>80</v>
      </c>
      <c r="E12" s="12" t="n">
        <v>22</v>
      </c>
      <c r="F12" s="13">
        <f>D12*E12</f>
        <v>1760</v>
      </c>
    </row>
    <row r="13" ht="21" customHeight="1">
      <c r="A13" s="9" t="n">
        <v>2</v>
      </c>
      <c r="B13" s="10" t="inlineStr">
        <is>
          <t>Varilla corrugada de 3/8" G-40 (barra de 6 m)</t>
        </is>
      </c>
      <c r="C13" s="9" t="inlineStr">
        <is>
          <t>Unidad</t>
        </is>
      </c>
      <c r="D13" s="11" t="n">
        <v>79</v>
      </c>
      <c r="E13" s="12" t="n">
        <v>185</v>
      </c>
      <c r="F13" s="13">
        <f>D13*E13</f>
        <v>14615</v>
      </c>
    </row>
    <row r="14" ht="21" customHeight="1">
      <c r="A14" s="9" t="n">
        <v>3</v>
      </c>
      <c r="B14" s="10" t="inlineStr">
        <is>
          <t>Estribo de 1/4" armado de 10x10 cm</t>
        </is>
      </c>
      <c r="C14" s="9" t="inlineStr">
        <is>
          <t>Unidad</t>
        </is>
      </c>
      <c r="D14" s="11" t="n">
        <v>100</v>
      </c>
      <c r="E14" s="12" t="n">
        <v>15</v>
      </c>
      <c r="F14" s="13">
        <f>D14*E14</f>
        <v>1500</v>
      </c>
    </row>
    <row r="15" ht="21" customHeight="1">
      <c r="A15" s="9" t="n">
        <v>4</v>
      </c>
      <c r="B15" s="10" t="inlineStr">
        <is>
          <t>Alambre de amarre recocido cal. 18</t>
        </is>
      </c>
      <c r="C15" s="9" t="inlineStr">
        <is>
          <t>Libra</t>
        </is>
      </c>
      <c r="D15" s="11" t="n">
        <v>4</v>
      </c>
      <c r="E15" s="12" t="n">
        <v>28</v>
      </c>
      <c r="F15" s="13">
        <f>D15*E15</f>
        <v>112</v>
      </c>
    </row>
    <row r="16" ht="21" customHeight="1">
      <c r="A16" s="9" t="n">
        <v>5</v>
      </c>
      <c r="B16" s="10" t="inlineStr">
        <is>
          <t>Cemento gris tipo GU (bolsa de 42.5 kg)</t>
        </is>
      </c>
      <c r="C16" s="9" t="inlineStr">
        <is>
          <t>Bolsa</t>
        </is>
      </c>
      <c r="D16" s="11" t="n">
        <v>5</v>
      </c>
      <c r="E16" s="12" t="n">
        <v>395</v>
      </c>
      <c r="F16" s="13">
        <f>D16*E16</f>
        <v>1975</v>
      </c>
    </row>
    <row r="17" ht="21" customHeight="1">
      <c r="A17" s="9" t="n">
        <v>6</v>
      </c>
      <c r="B17" s="10" t="inlineStr">
        <is>
          <t>Arena de construcción</t>
        </is>
      </c>
      <c r="C17" s="9" t="inlineStr">
        <is>
          <t>m³</t>
        </is>
      </c>
      <c r="D17" s="11" t="n">
        <v>1</v>
      </c>
      <c r="E17" s="12" t="n">
        <v>700</v>
      </c>
      <c r="F17" s="13">
        <f>D17*E17</f>
        <v>700</v>
      </c>
    </row>
    <row r="18" ht="21" customHeight="1">
      <c r="A18" s="9" t="n">
        <v>7</v>
      </c>
      <c r="B18" s="10" t="inlineStr">
        <is>
          <t>Piedrín de 1/2"</t>
        </is>
      </c>
      <c r="C18" s="9" t="inlineStr">
        <is>
          <t>m³</t>
        </is>
      </c>
      <c r="D18" s="11" t="n">
        <v>0.5</v>
      </c>
      <c r="E18" s="12" t="n">
        <v>1000</v>
      </c>
      <c r="F18" s="13">
        <f>D18*E18</f>
        <v>500</v>
      </c>
    </row>
    <row r="19" ht="21" customHeight="1">
      <c r="A19" s="9" t="n">
        <v>8</v>
      </c>
      <c r="B19" s="10" t="inlineStr">
        <is>
          <t>Tabla de pino de 1x12x6 varas</t>
        </is>
      </c>
      <c r="C19" s="9" t="inlineStr">
        <is>
          <t>Unidad</t>
        </is>
      </c>
      <c r="D19" s="11" t="n">
        <v>3</v>
      </c>
      <c r="E19" s="12" t="n">
        <v>500</v>
      </c>
      <c r="F19" s="13">
        <f>D19*E19</f>
        <v>1500</v>
      </c>
    </row>
    <row r="20" ht="21" customHeight="1">
      <c r="A20" s="9" t="n">
        <v>9</v>
      </c>
      <c r="B20" s="10" t="inlineStr">
        <is>
          <t>Regla de pino de 1x2x6 varas</t>
        </is>
      </c>
      <c r="C20" s="9" t="inlineStr">
        <is>
          <t>Unidad</t>
        </is>
      </c>
      <c r="D20" s="11" t="n">
        <v>2</v>
      </c>
      <c r="E20" s="12" t="n">
        <v>110</v>
      </c>
      <c r="F20" s="13">
        <f>D20*E20</f>
        <v>220</v>
      </c>
    </row>
    <row r="21" ht="21" customHeight="1">
      <c r="A21" s="9" t="n">
        <v>10</v>
      </c>
      <c r="B21" s="10" t="inlineStr">
        <is>
          <t>Clavos corrientes de 2 1/2"</t>
        </is>
      </c>
      <c r="C21" s="9" t="inlineStr">
        <is>
          <t>Libra</t>
        </is>
      </c>
      <c r="D21" s="11" t="n">
        <v>5</v>
      </c>
      <c r="E21" s="12" t="n">
        <v>35</v>
      </c>
      <c r="F21" s="13">
        <f>D21*E21</f>
        <v>175</v>
      </c>
    </row>
    <row r="22" ht="21" customHeight="1">
      <c r="A22" s="9" t="n">
        <v>11</v>
      </c>
      <c r="B22" s="10" t="inlineStr">
        <is>
          <t>Clavos de acero de 2 1/2"</t>
        </is>
      </c>
      <c r="C22" s="9" t="inlineStr">
        <is>
          <t>Docena</t>
        </is>
      </c>
      <c r="D22" s="11" t="n">
        <v>2</v>
      </c>
      <c r="E22" s="12" t="n">
        <v>55</v>
      </c>
      <c r="F22" s="13">
        <f>D22*E22</f>
        <v>110</v>
      </c>
    </row>
    <row r="23" ht="21" customHeight="1">
      <c r="A23" s="9" t="n">
        <v>12</v>
      </c>
      <c r="B23" s="10" t="inlineStr">
        <is>
          <t>Adhesivo Plaster Bond (concreto-concreto)</t>
        </is>
      </c>
      <c r="C23" s="9" t="inlineStr">
        <is>
          <t>Litro</t>
        </is>
      </c>
      <c r="D23" s="11" t="n">
        <v>1</v>
      </c>
      <c r="E23" s="12" t="n">
        <v>230</v>
      </c>
      <c r="F23" s="13">
        <f>D23*E23</f>
        <v>230</v>
      </c>
    </row>
    <row r="24" ht="22" customHeight="1">
      <c r="A24" s="14" t="inlineStr">
        <is>
          <t>Subtotal materiales — muro</t>
        </is>
      </c>
      <c r="B24" s="15" t="n"/>
      <c r="C24" s="15" t="n"/>
      <c r="D24" s="15" t="n"/>
      <c r="E24" s="15" t="n"/>
      <c r="F24" s="16">
        <f>SUM(F12:F23)</f>
        <v>23397</v>
      </c>
    </row>
    <row r="25" ht="24" customHeight="1">
      <c r="A25" s="17" t="inlineStr">
        <is>
          <t>2.  MATERIALES PARA PORTÓN, CERCO Y CONCERTINA</t>
        </is>
      </c>
      <c r="B25" s="18" t="n"/>
      <c r="C25" s="18" t="n"/>
      <c r="D25" s="18" t="n"/>
      <c r="E25" s="18" t="n"/>
      <c r="F25" s="18" t="n"/>
    </row>
    <row r="26" ht="36" customHeight="1">
      <c r="A26" s="8" t="inlineStr">
        <is>
          <t>Ítem</t>
        </is>
      </c>
      <c r="B26" s="8" t="inlineStr">
        <is>
          <t>Descripción</t>
        </is>
      </c>
      <c r="C26" s="8" t="inlineStr">
        <is>
          <t>Unidad</t>
        </is>
      </c>
      <c r="D26" s="8" t="inlineStr">
        <is>
          <t>Cantidad</t>
        </is>
      </c>
      <c r="E26" s="8" t="inlineStr">
        <is>
          <t>Precio Unitario (C$)</t>
        </is>
      </c>
      <c r="F26" s="8" t="inlineStr">
        <is>
          <t>Total (C$)</t>
        </is>
      </c>
    </row>
    <row r="27" ht="21" customHeight="1">
      <c r="A27" s="9" t="n">
        <v>13</v>
      </c>
      <c r="B27" s="10" t="inlineStr">
        <is>
          <t>Rollo de concertina / serpentina de 450 mm</t>
        </is>
      </c>
      <c r="C27" s="9" t="inlineStr">
        <is>
          <t>Rollo</t>
        </is>
      </c>
      <c r="D27" s="11" t="n">
        <v>3</v>
      </c>
      <c r="E27" s="12" t="n">
        <v>2200</v>
      </c>
      <c r="F27" s="13">
        <f>D27*E27</f>
        <v>6600</v>
      </c>
    </row>
    <row r="28" ht="21" customHeight="1">
      <c r="A28" s="9" t="n">
        <v>14</v>
      </c>
      <c r="B28" s="10" t="inlineStr">
        <is>
          <t>Grapas para cerca</t>
        </is>
      </c>
      <c r="C28" s="9" t="inlineStr">
        <is>
          <t>Libra</t>
        </is>
      </c>
      <c r="D28" s="11" t="n">
        <v>4</v>
      </c>
      <c r="E28" s="12" t="n">
        <v>35</v>
      </c>
      <c r="F28" s="13">
        <f>D28*E28</f>
        <v>140</v>
      </c>
    </row>
    <row r="29" ht="21" customHeight="1">
      <c r="A29" s="9" t="n">
        <v>15</v>
      </c>
      <c r="B29" s="10" t="inlineStr">
        <is>
          <t>Electrodo de soldadura 6011 de 3/32" (caja)</t>
        </is>
      </c>
      <c r="C29" s="9" t="inlineStr">
        <is>
          <t>Caja</t>
        </is>
      </c>
      <c r="D29" s="11" t="n">
        <v>1</v>
      </c>
      <c r="E29" s="12" t="n">
        <v>780</v>
      </c>
      <c r="F29" s="13">
        <f>D29*E29</f>
        <v>780</v>
      </c>
    </row>
    <row r="30" ht="21" customHeight="1">
      <c r="A30" s="9" t="n">
        <v>16</v>
      </c>
      <c r="B30" s="10" t="inlineStr">
        <is>
          <t>Pintura anticorrosiva</t>
        </is>
      </c>
      <c r="C30" s="9" t="inlineStr">
        <is>
          <t>Cuarto</t>
        </is>
      </c>
      <c r="D30" s="11" t="n">
        <v>2</v>
      </c>
      <c r="E30" s="12" t="n">
        <v>180</v>
      </c>
      <c r="F30" s="13">
        <f>D30*E30</f>
        <v>360</v>
      </c>
    </row>
    <row r="31" ht="21" customHeight="1">
      <c r="A31" s="9" t="n">
        <v>17</v>
      </c>
      <c r="B31" s="10" t="inlineStr">
        <is>
          <t>Diluyente (thinner corriente)</t>
        </is>
      </c>
      <c r="C31" s="9" t="inlineStr">
        <is>
          <t>Galón</t>
        </is>
      </c>
      <c r="D31" s="11" t="n">
        <v>1</v>
      </c>
      <c r="E31" s="12" t="n">
        <v>400</v>
      </c>
      <c r="F31" s="13">
        <f>D31*E31</f>
        <v>400</v>
      </c>
    </row>
    <row r="32" ht="21" customHeight="1">
      <c r="A32" s="9" t="n">
        <v>18</v>
      </c>
      <c r="B32" s="10" t="inlineStr">
        <is>
          <t>Tubo cuadrado de 1 1/2" chapa 14 (6 m)</t>
        </is>
      </c>
      <c r="C32" s="9" t="inlineStr">
        <is>
          <t>Unidad</t>
        </is>
      </c>
      <c r="D32" s="11" t="n">
        <v>3</v>
      </c>
      <c r="E32" s="12" t="n">
        <v>700</v>
      </c>
      <c r="F32" s="13">
        <f>D32*E32</f>
        <v>2100</v>
      </c>
    </row>
    <row r="33" ht="21" customHeight="1">
      <c r="A33" s="9" t="n">
        <v>19</v>
      </c>
      <c r="B33" s="10" t="inlineStr">
        <is>
          <t>Lámina negra de 4x8 pies x 1 mm (cal. 20)</t>
        </is>
      </c>
      <c r="C33" s="9" t="inlineStr">
        <is>
          <t>Unidad</t>
        </is>
      </c>
      <c r="D33" s="11" t="n">
        <v>1</v>
      </c>
      <c r="E33" s="12" t="n">
        <v>1250</v>
      </c>
      <c r="F33" s="13">
        <f>D33*E33</f>
        <v>1250</v>
      </c>
    </row>
    <row r="34" ht="21" customHeight="1">
      <c r="A34" s="9" t="n">
        <v>20</v>
      </c>
      <c r="B34" s="10" t="inlineStr">
        <is>
          <t>Par de bisagra de bala</t>
        </is>
      </c>
      <c r="C34" s="9" t="inlineStr">
        <is>
          <t>Par</t>
        </is>
      </c>
      <c r="D34" s="11" t="n">
        <v>1</v>
      </c>
      <c r="E34" s="12" t="n">
        <v>120</v>
      </c>
      <c r="F34" s="13">
        <f>D34*E34</f>
        <v>120</v>
      </c>
    </row>
    <row r="35" ht="21" customHeight="1">
      <c r="A35" s="9" t="n">
        <v>21</v>
      </c>
      <c r="B35" s="10" t="inlineStr">
        <is>
          <t>Pasador (aldaba) de 5"</t>
        </is>
      </c>
      <c r="C35" s="9" t="inlineStr">
        <is>
          <t>Unidad</t>
        </is>
      </c>
      <c r="D35" s="11" t="n">
        <v>1</v>
      </c>
      <c r="E35" s="12" t="n">
        <v>90</v>
      </c>
      <c r="F35" s="13">
        <f>D35*E35</f>
        <v>90</v>
      </c>
    </row>
    <row r="36" ht="21" customHeight="1">
      <c r="A36" s="9" t="n">
        <v>22</v>
      </c>
      <c r="B36" s="10" t="inlineStr">
        <is>
          <t>Disco de corte fino de 7" para metal</t>
        </is>
      </c>
      <c r="C36" s="9" t="inlineStr">
        <is>
          <t>Unidad</t>
        </is>
      </c>
      <c r="D36" s="11" t="n">
        <v>2</v>
      </c>
      <c r="E36" s="12" t="n">
        <v>75</v>
      </c>
      <c r="F36" s="13">
        <f>D36*E36</f>
        <v>150</v>
      </c>
    </row>
    <row r="37" ht="22" customHeight="1">
      <c r="A37" s="14" t="inlineStr">
        <is>
          <t>Subtotal materiales — portón y concertina</t>
        </is>
      </c>
      <c r="B37" s="15" t="n"/>
      <c r="C37" s="15" t="n"/>
      <c r="D37" s="15" t="n"/>
      <c r="E37" s="15" t="n"/>
      <c r="F37" s="16">
        <f>SUM(F27:F36)</f>
        <v>11990</v>
      </c>
    </row>
    <row r="38" ht="24" customHeight="1">
      <c r="A38" s="19" t="inlineStr">
        <is>
          <t>3.  MANO DE OBRA</t>
        </is>
      </c>
      <c r="B38" s="20" t="n"/>
      <c r="C38" s="20" t="n"/>
      <c r="D38" s="20" t="n"/>
      <c r="E38" s="20" t="n"/>
      <c r="F38" s="20" t="n"/>
    </row>
    <row r="39" ht="36" customHeight="1">
      <c r="A39" s="8" t="inlineStr">
        <is>
          <t>Ítem</t>
        </is>
      </c>
      <c r="B39" s="8" t="inlineStr">
        <is>
          <t>Descripción</t>
        </is>
      </c>
      <c r="C39" s="8" t="inlineStr">
        <is>
          <t>Unidad</t>
        </is>
      </c>
      <c r="D39" s="8" t="inlineStr">
        <is>
          <t>Cantidad</t>
        </is>
      </c>
      <c r="E39" s="8" t="inlineStr">
        <is>
          <t>Precio Unitario (C$)</t>
        </is>
      </c>
      <c r="F39" s="8" t="inlineStr">
        <is>
          <t>Total (C$)</t>
        </is>
      </c>
    </row>
    <row r="40" ht="21" customHeight="1">
      <c r="A40" s="9" t="n">
        <v>23</v>
      </c>
      <c r="B40" s="10" t="inlineStr">
        <is>
          <t>Mano de obra — elevación de muro perimetral</t>
        </is>
      </c>
      <c r="C40" s="9" t="inlineStr">
        <is>
          <t>Global</t>
        </is>
      </c>
      <c r="D40" s="11" t="n">
        <v>1</v>
      </c>
      <c r="E40" s="12" t="n">
        <v>8000</v>
      </c>
      <c r="F40" s="13">
        <f>D40*E40</f>
        <v>8000</v>
      </c>
    </row>
    <row r="41" ht="21" customHeight="1">
      <c r="A41" s="9" t="n">
        <v>24</v>
      </c>
      <c r="B41" s="10" t="inlineStr">
        <is>
          <t>Mano de obra — concertina y portón metálico</t>
        </is>
      </c>
      <c r="C41" s="9" t="inlineStr">
        <is>
          <t>Global</t>
        </is>
      </c>
      <c r="D41" s="11" t="n">
        <v>1</v>
      </c>
      <c r="E41" s="12" t="n">
        <v>7500</v>
      </c>
      <c r="F41" s="13">
        <f>D41*E41</f>
        <v>7500</v>
      </c>
    </row>
    <row r="42" ht="22" customHeight="1">
      <c r="A42" s="14" t="inlineStr">
        <is>
          <t>Subtotal mano de obra</t>
        </is>
      </c>
      <c r="B42" s="15" t="n"/>
      <c r="C42" s="15" t="n"/>
      <c r="D42" s="15" t="n"/>
      <c r="E42" s="15" t="n"/>
      <c r="F42" s="16">
        <f>SUM(F40:F41)</f>
        <v>15500</v>
      </c>
    </row>
    <row r="44" ht="24" customHeight="1">
      <c r="A44" s="21" t="inlineStr">
        <is>
          <t>RESUMEN DEL PRESUPUESTO</t>
        </is>
      </c>
      <c r="B44" s="22" t="n"/>
      <c r="C44" s="22" t="n"/>
      <c r="D44" s="22" t="n"/>
      <c r="E44" s="22" t="n"/>
      <c r="F44" s="22" t="n"/>
    </row>
    <row r="45" ht="22" customHeight="1">
      <c r="A45" s="23" t="inlineStr">
        <is>
          <t>Subtotal materiales (IVA incluido)</t>
        </is>
      </c>
      <c r="B45" s="15" t="n"/>
      <c r="C45" s="15" t="n"/>
      <c r="D45" s="15" t="n"/>
      <c r="E45" s="15" t="n"/>
      <c r="F45" s="24">
        <f>F24+F37</f>
        <v>35387</v>
      </c>
    </row>
    <row r="46" ht="22" customHeight="1">
      <c r="A46" s="23" t="inlineStr">
        <is>
          <t>Imprevistos (5% sobre materiales)</t>
        </is>
      </c>
      <c r="B46" s="15" t="n"/>
      <c r="C46" s="15" t="n"/>
      <c r="D46" s="15" t="n"/>
      <c r="E46" s="15" t="n"/>
      <c r="F46" s="24">
        <f>F45*0.05</f>
        <v>1769.35</v>
      </c>
    </row>
    <row r="47" ht="22" customHeight="1">
      <c r="A47" s="23" t="inlineStr">
        <is>
          <t>Subtotal mano de obra</t>
        </is>
      </c>
      <c r="B47" s="15" t="n"/>
      <c r="C47" s="15" t="n"/>
      <c r="D47" s="15" t="n"/>
      <c r="E47" s="15" t="n"/>
      <c r="F47" s="24">
        <f>F42</f>
        <v>15500</v>
      </c>
    </row>
    <row r="48" ht="26" customHeight="1">
      <c r="A48" s="25" t="inlineStr">
        <is>
          <t>TOTAL GENERAL (C$)</t>
        </is>
      </c>
      <c r="B48" s="26" t="n"/>
      <c r="C48" s="26" t="n"/>
      <c r="D48" s="26" t="n"/>
      <c r="E48" s="26" t="n"/>
      <c r="F48" s="27">
        <f>F45+F46+F47</f>
        <v>52656.35</v>
      </c>
    </row>
    <row r="49" ht="16" customHeight="1">
      <c r="A49" s="28" t="inlineStr">
        <is>
          <t>IVA (15%) ya contenido en el monto de materiales:</t>
        </is>
      </c>
      <c r="F49" s="29">
        <f>(F24+F37)/1.15*0.15</f>
        <v>4615.70</v>
      </c>
    </row>
    <row r="50" ht="16" customHeight="1">
      <c r="A50" s="28" t="inlineStr">
        <is>
          <t>Total general equivalente en dólares (referencial, no vinculante):</t>
        </is>
      </c>
      <c r="F50" s="30">
        <f>F48/36.62</f>
        <v>1437.91</v>
      </c>
    </row>
    <row r="52" ht="24" customHeight="1">
      <c r="A52" s="21" t="inlineStr">
        <is>
          <t>OBSERVACIONES</t>
        </is>
      </c>
      <c r="B52" s="22" t="n"/>
      <c r="C52" s="22" t="n"/>
      <c r="D52" s="22" t="n"/>
      <c r="E52" s="22" t="n"/>
      <c r="F52" s="22" t="n"/>
    </row>
    <row r="53" ht="51" customHeight="1">
      <c r="A53" s="31" t="inlineStr">
        <is>
          <t>1. Precios unitarios de referencia del mercado nicaragüense (SINSA, Ferretería Jenny, SOFECONSA, CONCRENIC y datos de mercado 2025–2026); incluyen IVA (15%). Están sujetos a variación por proveedor, disponibilidad y fluctuación del mercado.</t>
        </is>
      </c>
      <c r="B53" s="32" t="n"/>
      <c r="C53" s="32" t="n"/>
      <c r="D53" s="32" t="n"/>
      <c r="E53" s="32" t="n"/>
      <c r="F53" s="32" t="n"/>
    </row>
    <row r="54" ht="36" customHeight="1">
      <c r="A54" s="31" t="inlineStr">
        <is>
          <t>2. El muro se levanta sobre un muro de cantera existente y se continúa con bloque de 6" en mampostería confinada (columnas y viga corona de amarre con refuerzo de 3/8" y estribos de 1/4").</t>
        </is>
      </c>
      <c r="B54" s="32" t="n"/>
      <c r="C54" s="32" t="n"/>
      <c r="D54" s="32" t="n"/>
      <c r="E54" s="32" t="n"/>
      <c r="F54" s="32" t="n"/>
    </row>
    <row r="55" ht="36" customHeight="1">
      <c r="A55" s="31" t="inlineStr">
        <is>
          <t>3. Las cantidades provienen de la lista entregada por el cliente. No se incluye desperdicio adicional al 5% de imprevistos ni acarreo de materiales fuera del sitio.</t>
        </is>
      </c>
      <c r="B55" s="32" t="n"/>
      <c r="C55" s="32" t="n"/>
      <c r="D55" s="32" t="n"/>
      <c r="E55" s="32" t="n"/>
      <c r="F55" s="32" t="n"/>
    </row>
    <row r="56" ht="36" customHeight="1">
      <c r="A56" s="31" t="inlineStr">
        <is>
          <t>4. No incluye: excavación o refuerzo de cimiento nuevo, trazo topográfico, permisos municipales, ni acabado fino (repello/afinado), salvo indicación contraria.</t>
        </is>
      </c>
      <c r="B56" s="32" t="n"/>
      <c r="C56" s="32" t="n"/>
      <c r="D56" s="32" t="n"/>
      <c r="E56" s="32" t="n"/>
      <c r="F56" s="32" t="n"/>
    </row>
    <row r="57" ht="36" customHeight="1">
      <c r="A57" s="31" t="inlineStr">
        <is>
          <t>5. La mano de obra es por trato (precio global) con maestro de obra; no incluye prestaciones de ley ni alimentación, salvo acuerdo por escrito.</t>
        </is>
      </c>
      <c r="B57" s="32" t="n"/>
      <c r="C57" s="32" t="n"/>
      <c r="D57" s="32" t="n"/>
      <c r="E57" s="32" t="n"/>
      <c r="F57" s="32" t="n"/>
    </row>
    <row r="58" ht="36" customHeight="1">
      <c r="A58" s="31" t="inlineStr">
        <is>
          <t>6. La madera (tablas y reglas) es para formaleta/encofrado de columnas y viga; es material reutilizable no consumido en su totalidad.</t>
        </is>
      </c>
      <c r="B58" s="32" t="n"/>
      <c r="C58" s="32" t="n"/>
      <c r="D58" s="32" t="n"/>
      <c r="E58" s="32" t="n"/>
      <c r="F58" s="32" t="n"/>
    </row>
    <row r="59" ht="36" customHeight="1">
      <c r="A59" s="31" t="inlineStr">
        <is>
          <t>7. Validez de la oferta: 30 días calendario a partir de la fecha de emisión. Tipo de cambio referencial: 1 USD ≈ C$ 36.62.</t>
        </is>
      </c>
      <c r="B59" s="32" t="n"/>
      <c r="C59" s="32" t="n"/>
      <c r="D59" s="32" t="n"/>
      <c r="E59" s="32" t="n"/>
      <c r="F59" s="32" t="n"/>
    </row>
    <row r="60" ht="66" customHeight="1">
      <c r="A60" s="31" t="inlineStr">
        <is>
          <t>8. Fuentes de precios: piedrín, arena y cemento (tecnoguias.net / SINSA); tubo cuadrado de hierro negro (Ferretería SOFECONSA, 1"x1" ch.14 ≈ C$420+IVA); alambre de amarre (Padua Materiales ≈ C$2,050/quintal); lámina negra 4x8 (referencia regional 1/16"≈US$44). Se recomienda confirmar con cotización formal de SINSA o Ferretería Jenny antes de comprar.</t>
        </is>
      </c>
      <c r="B60" s="32" t="n"/>
      <c r="C60" s="32" t="n"/>
      <c r="D60" s="32" t="n"/>
      <c r="E60" s="32" t="n"/>
      <c r="F60" s="32" t="n"/>
    </row>
    <row r="62" ht="20" customHeight="1">
      <c r="A62" s="33" t="inlineStr">
        <is>
          <t>LEYENDA DE COLORES</t>
        </is>
      </c>
    </row>
    <row r="63" ht="18" customHeight="1">
      <c r="A63" s="34" t="inlineStr">
        <is>
          <t>Texto azul</t>
        </is>
      </c>
      <c r="B63" s="35" t="inlineStr">
        <is>
          <t>Celdas editables por el usuario (cantidad y precio unitario). El total se calcula automáticamente.</t>
        </is>
      </c>
      <c r="C63" s="32" t="n"/>
      <c r="D63" s="32" t="n"/>
      <c r="E63" s="32" t="n"/>
      <c r="F63" s="32" t="n"/>
    </row>
    <row r="64" ht="18" customHeight="1">
      <c r="A64" s="36" t="inlineStr">
        <is>
          <t>Fondo gris claro</t>
        </is>
      </c>
      <c r="B64" s="35" t="inlineStr">
        <is>
          <t>Subtotales y resumen del presupuesto.</t>
        </is>
      </c>
      <c r="C64" s="32" t="n"/>
      <c r="D64" s="32" t="n"/>
      <c r="E64" s="32" t="n"/>
      <c r="F64" s="32" t="n"/>
    </row>
    <row r="65" ht="18" customHeight="1">
      <c r="A65" s="37" t="inlineStr">
        <is>
          <t>Fondo gris oscuro</t>
        </is>
      </c>
      <c r="B65" s="35" t="inlineStr">
        <is>
          <t>Total general del presupuesto.</t>
        </is>
      </c>
      <c r="C65" s="32" t="n"/>
      <c r="D65" s="32" t="n"/>
      <c r="E65" s="32" t="n"/>
      <c r="F65" s="32" t="n"/>
    </row>
    <row r="67" ht="34" customHeight="1"/>
    <row r="68" ht="20" customHeight="1">
      <c r="B68" s="38" t="inlineStr">
        <is>
          <t>Elaborado por</t>
        </is>
      </c>
      <c r="C68" s="39" t="n"/>
      <c r="E68" s="38" t="inlineStr">
        <is>
          <t>Aprobado por / Cliente</t>
        </is>
      </c>
      <c r="F68" s="39" t="n"/>
    </row>
  </sheetData>
  <mergeCells count="42">
    <mergeCell ref="A54:F54"/>
    <mergeCell ref="A48:E48"/>
    <mergeCell ref="A24:E24"/>
    <mergeCell ref="C8:F8"/>
    <mergeCell ref="E68:F68"/>
    <mergeCell ref="A49:E49"/>
    <mergeCell ref="C7:F7"/>
    <mergeCell ref="A45:E45"/>
    <mergeCell ref="A56:F56"/>
    <mergeCell ref="F49"/>
    <mergeCell ref="A55:F55"/>
    <mergeCell ref="A6:B6"/>
    <mergeCell ref="A57:F57"/>
    <mergeCell ref="A2:F2"/>
    <mergeCell ref="A7:B7"/>
    <mergeCell ref="C6:F6"/>
    <mergeCell ref="A37:E37"/>
    <mergeCell ref="A46:E46"/>
    <mergeCell ref="A62:F62"/>
    <mergeCell ref="C5:F5"/>
    <mergeCell ref="A53:F53"/>
    <mergeCell ref="A38:F38"/>
    <mergeCell ref="A50:E50"/>
    <mergeCell ref="A10:F10"/>
    <mergeCell ref="A52:F52"/>
    <mergeCell ref="C4:F4"/>
    <mergeCell ref="A44:F44"/>
    <mergeCell ref="A42:E42"/>
    <mergeCell ref="A5:B5"/>
    <mergeCell ref="A47:E47"/>
    <mergeCell ref="A58:F58"/>
    <mergeCell ref="A8:B8"/>
    <mergeCell ref="A59:F59"/>
    <mergeCell ref="A4:B4"/>
    <mergeCell ref="B65:F65"/>
    <mergeCell ref="B68:C68"/>
    <mergeCell ref="F50"/>
    <mergeCell ref="A60:F60"/>
    <mergeCell ref="B64:F64"/>
    <mergeCell ref="A1:F1"/>
    <mergeCell ref="B63:F63"/>
    <mergeCell ref="A25:F25"/>
  </mergeCells>
  <dataValidations count="1">
    <dataValidation sqref="C12:C23 C27:C36 C40:C41" showDropDown="0" showInputMessage="0" showErrorMessage="0" allowBlank="1" type="list">
      <formula1>"Unidad,Libra,Bolsa,Docena,Caja,Rollo,Cuarto,Galón,Par,m³,Global,Litro"</formula1>
    </dataValidation>
  </dataValidations>
  <printOptions horizontalCentered="1"/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8" customWidth="1" min="3" max="3"/>
    <col width="22" customWidth="1" min="4" max="4"/>
  </cols>
  <sheetData>
    <row r="1" ht="26" customHeight="1">
      <c r="A1" s="1" t="inlineStr">
        <is>
          <t>CUADRO DE ESPECIFICACIONES TÉCNICAS</t>
        </is>
      </c>
    </row>
    <row r="2" ht="20" customHeight="1">
      <c r="A2" s="2" t="inlineStr">
        <is>
          <t>Muro perimetral de mampostería confinada sobre muro de cantera existente</t>
        </is>
      </c>
    </row>
    <row r="4" ht="32" customHeight="1">
      <c r="A4" s="8" t="inlineStr">
        <is>
          <t>N°</t>
        </is>
      </c>
      <c r="B4" s="8" t="inlineStr">
        <is>
          <t>Elemento / Partida</t>
        </is>
      </c>
      <c r="C4" s="8" t="inlineStr">
        <is>
          <t>Especificación técnica</t>
        </is>
      </c>
      <c r="D4" s="8" t="inlineStr">
        <is>
          <t>Norma / Referencia</t>
        </is>
      </c>
    </row>
    <row r="5" ht="68" customHeight="1">
      <c r="A5" s="40" t="n">
        <v>1</v>
      </c>
      <c r="B5" s="41" t="inlineStr">
        <is>
          <t>Muro existente (base)</t>
        </is>
      </c>
      <c r="C5" s="31" t="inlineStr">
        <is>
          <t>Muro de cantera existente que sirve de base y arranque. Verificar plomo, nivel y estado antes de continuar; picar y limpiar la corona y aplicar puente de adherencia (Plaster Bond) antes de asentar la primera hilada de bloque.</t>
        </is>
      </c>
      <c r="D5" s="31" t="inlineStr">
        <is>
          <t>RNC-07 / buena práctica</t>
        </is>
      </c>
    </row>
    <row r="6" ht="53" customHeight="1">
      <c r="A6" s="42" t="n">
        <v>2</v>
      </c>
      <c r="B6" s="43" t="inlineStr">
        <is>
          <t>Unidad de mampostería</t>
        </is>
      </c>
      <c r="C6" s="44" t="inlineStr">
        <is>
          <t>Bloque de concreto hueco de 6" (nominal 15x20x40 cm), asentado a soga con junta de 1.0 a 1.5 cm. Resistencia mínima recomendada f'm según uso estructural.</t>
        </is>
      </c>
      <c r="D6" s="44" t="inlineStr">
        <is>
          <t>ASTM C90 / NTON 12 008-09</t>
        </is>
      </c>
    </row>
    <row r="7" ht="53" customHeight="1">
      <c r="A7" s="40" t="n">
        <v>3</v>
      </c>
      <c r="B7" s="41" t="inlineStr">
        <is>
          <t>Mortero de pega</t>
        </is>
      </c>
      <c r="C7" s="31" t="inlineStr">
        <is>
          <t>Mortero cemento-arena en proporción 1:4 (tipo S). Espesor de junta 10-15 mm, llenas y enrasadas. Agua potable; arena cribada, libre de materia orgánica.</t>
        </is>
      </c>
      <c r="D7" s="31" t="inlineStr">
        <is>
          <t>ASTM C270</t>
        </is>
      </c>
    </row>
    <row r="8" ht="53" customHeight="1">
      <c r="A8" s="42" t="n">
        <v>4</v>
      </c>
      <c r="B8" s="43" t="inlineStr">
        <is>
          <t>Concreto de relleno / columnas</t>
        </is>
      </c>
      <c r="C8" s="44" t="inlineStr">
        <is>
          <t>Concreto en celdas reforzadas y columnas de confinamiento, proporción 1:2:2 (cemento:arena:piedrín de 1/2"), resistencia f'c ≥ 3000 psi (210 kg/cm²). Vibrado o chuzeado.</t>
        </is>
      </c>
      <c r="D8" s="44" t="inlineStr">
        <is>
          <t>ACI 318 / RNC-07</t>
        </is>
      </c>
    </row>
    <row r="9" ht="53" customHeight="1">
      <c r="A9" s="40" t="n">
        <v>5</v>
      </c>
      <c r="B9" s="41" t="inlineStr">
        <is>
          <t>Refuerzo vertical</t>
        </is>
      </c>
      <c r="C9" s="31" t="inlineStr">
        <is>
          <t>Varilla corrugada de 3/8" grado 40 en columnas de confinamiento y celdas, según separación de diseño. Traslapes mínimos de 40 diámetros; anclaje al muro de cantera y a la viga corona.</t>
        </is>
      </c>
      <c r="D9" s="31" t="inlineStr">
        <is>
          <t>ASTM A615 Gr.40</t>
        </is>
      </c>
    </row>
    <row r="10" ht="38" customHeight="1">
      <c r="A10" s="42" t="n">
        <v>6</v>
      </c>
      <c r="B10" s="43" t="inlineStr">
        <is>
          <t>Refuerzo transversal</t>
        </is>
      </c>
      <c r="C10" s="44" t="inlineStr">
        <is>
          <t>Estribos de 1/4" de 10x10 cm, separación típica cada 15-20 cm en columnas y confinamiento de viga. Ganchos a 135°.</t>
        </is>
      </c>
      <c r="D10" s="44" t="inlineStr">
        <is>
          <t>ACI 318 / RNC-07</t>
        </is>
      </c>
    </row>
    <row r="11" ht="53" customHeight="1">
      <c r="A11" s="40" t="n">
        <v>7</v>
      </c>
      <c r="B11" s="41" t="inlineStr">
        <is>
          <t>Viga corona / solera</t>
        </is>
      </c>
      <c r="C11" s="31" t="inlineStr">
        <is>
          <t>Viga de amarre (corona) de concreto reforzado en la parte superior del muro, ligada a las columnas de confinamiento para dar rigidez al conjunto.</t>
        </is>
      </c>
      <c r="D11" s="31" t="inlineStr">
        <is>
          <t>RNC-07 mampostería confinada</t>
        </is>
      </c>
    </row>
    <row r="12" ht="53" customHeight="1">
      <c r="A12" s="42" t="n">
        <v>8</v>
      </c>
      <c r="B12" s="43" t="inlineStr">
        <is>
          <t>Amarres y fijación</t>
        </is>
      </c>
      <c r="C12" s="44" t="inlineStr">
        <is>
          <t>Alambre de amarre recocido cal. 18 para el armado del acero. Clavos corrientes y de acero de 2 1/2" para la formaleta de madera (tabla y regla de pino).</t>
        </is>
      </c>
      <c r="D12" s="44" t="inlineStr">
        <is>
          <t>Práctica constructiva</t>
        </is>
      </c>
    </row>
    <row r="13" ht="53" customHeight="1">
      <c r="A13" s="40" t="n">
        <v>9</v>
      </c>
      <c r="B13" s="41" t="inlineStr">
        <is>
          <t>Encofrado / formaleta</t>
        </is>
      </c>
      <c r="C13" s="31" t="inlineStr">
        <is>
          <t>Formaleta de madera de pino (tabla 1x12 y regla 1x2) para columnas y viga; apuntalada, aplomada y humedecida antes del colado. Material reutilizable.</t>
        </is>
      </c>
      <c r="D13" s="31" t="inlineStr">
        <is>
          <t>Práctica constructiva</t>
        </is>
      </c>
    </row>
    <row r="14" ht="38" customHeight="1">
      <c r="A14" s="42" t="n">
        <v>10</v>
      </c>
      <c r="B14" s="43" t="inlineStr">
        <is>
          <t>Estructura del portón</t>
        </is>
      </c>
      <c r="C14" s="44" t="inlineStr">
        <is>
          <t>Marco de tubo cuadrado de 1 1/2" chapa 14 con forro de lámina negra de 1 mm (cal. 20, 4x8 pies). Uniones soldadas con electrodo 6011 de 3/32".</t>
        </is>
      </c>
      <c r="D14" s="44" t="inlineStr">
        <is>
          <t>AWS D1.1 / práctica de taller</t>
        </is>
      </c>
    </row>
    <row r="15" ht="38" customHeight="1">
      <c r="A15" s="40" t="n">
        <v>11</v>
      </c>
      <c r="B15" s="41" t="inlineStr">
        <is>
          <t>Herrajes del portón</t>
        </is>
      </c>
      <c r="C15" s="31" t="inlineStr">
        <is>
          <t>Par de bisagra de bala para el giro y pasador (aldaba) de 5" para el cierre. Ajuste y lubricación final.</t>
        </is>
      </c>
      <c r="D15" s="31" t="inlineStr">
        <is>
          <t>Ferretería estándar</t>
        </is>
      </c>
    </row>
    <row r="16" ht="38" customHeight="1">
      <c r="A16" s="42" t="n">
        <v>12</v>
      </c>
      <c r="B16" s="43" t="inlineStr">
        <is>
          <t>Protección anticorrosiva</t>
        </is>
      </c>
      <c r="C16" s="44" t="inlineStr">
        <is>
          <t>Limpieza de escoria y desengrase; una mano de pintura anticorrosiva (base) diluida con thinner sobre el portón y los elementos metálicos.</t>
        </is>
      </c>
      <c r="D16" s="44" t="inlineStr">
        <is>
          <t>SSPC-SP2 / ficha técnica</t>
        </is>
      </c>
    </row>
    <row r="17" ht="38" customHeight="1">
      <c r="A17" s="40" t="n">
        <v>13</v>
      </c>
      <c r="B17" s="41" t="inlineStr">
        <is>
          <t>Concertina / serpentina</t>
        </is>
      </c>
      <c r="C17" s="31" t="inlineStr">
        <is>
          <t>Concertina de 450 mm fijada sobre la corona del muro con grapas y soportes, para seguridad perimetral. Tensado uniforme y anclaje firme.</t>
        </is>
      </c>
      <c r="D17" s="31" t="inlineStr">
        <is>
          <t>Práctica de seguridad</t>
        </is>
      </c>
    </row>
    <row r="18" ht="38" customHeight="1">
      <c r="A18" s="42" t="n">
        <v>14</v>
      </c>
      <c r="B18" s="43" t="inlineStr">
        <is>
          <t>Corte de metal</t>
        </is>
      </c>
      <c r="C18" s="44" t="inlineStr">
        <is>
          <t>Corte de tubo y lámina con disco de corte fino de 7" para acero, con equipo y equipo de protección personal adecuado.</t>
        </is>
      </c>
      <c r="D18" s="44" t="inlineStr">
        <is>
          <t>Seguridad ocupacional</t>
        </is>
      </c>
    </row>
    <row r="19" ht="53" customHeight="1">
      <c r="A19" s="40" t="n">
        <v>15</v>
      </c>
      <c r="B19" s="41" t="inlineStr">
        <is>
          <t>Curado</t>
        </is>
      </c>
      <c r="C19" s="31" t="inlineStr">
        <is>
          <t>Curado del concreto y del mortero por humedecimiento durante un mínimo de 7 días, protegido del sol y el viento directo, para alcanzar la resistencia de diseño.</t>
        </is>
      </c>
      <c r="D19" s="31" t="inlineStr">
        <is>
          <t>ACI 308 / RNC-07</t>
        </is>
      </c>
    </row>
    <row r="21" ht="46" customHeight="1">
      <c r="A21" s="45" t="inlineStr">
        <is>
          <t>Nota: Este cuadro es de carácter referencial y de buena práctica constructiva. Las secciones, separaciones de refuerzo y resistencias definitivas deben ser validadas por el ingeniero responsable según el Reglamento Nacional de la Construcción (RNC-07) de Nicaragua.</t>
        </is>
      </c>
    </row>
  </sheetData>
  <mergeCells count="3">
    <mergeCell ref="A1:D1"/>
    <mergeCell ref="A21:D21"/>
    <mergeCell ref="A2:D2"/>
  </mergeCells>
  <printOptions horizontalCentered="1"/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2026-08-04T19:33:25Z</dcterms:created>
  <dcterms:modified xsi:type="dcterms:W3CDTF">2026-08-04T19:33:25Z</dcterms:modified>
</cp:coreProperties>
</file>